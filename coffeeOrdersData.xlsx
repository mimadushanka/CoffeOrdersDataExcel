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defaultThemeVersion="166925"/>
  <mc:AlternateContent xmlns:mc="http://schemas.openxmlformats.org/markup-compatibility/2006">
    <mc:Choice Requires="x15">
      <x15ac:absPath xmlns:x15ac="http://schemas.microsoft.com/office/spreadsheetml/2010/11/ac" url="/Users/mi/Documents/Projects/Excel Coffe sales Dashboard /"/>
    </mc:Choice>
  </mc:AlternateContent>
  <xr:revisionPtr revIDLastSave="0" documentId="13_ncr:1_{15915661-AC23-5A4C-A198-612FDE18B994}" xr6:coauthVersionLast="47" xr6:coauthVersionMax="47" xr10:uidLastSave="{00000000-0000-0000-0000-000000000000}"/>
  <bookViews>
    <workbookView xWindow="0" yWindow="760" windowWidth="30240" windowHeight="17740" xr2:uid="{00000000-000D-0000-FFFF-FFFF00000000}"/>
  </bookViews>
  <sheets>
    <sheet name="Dashboard" sheetId="23" r:id="rId1"/>
    <sheet name="TotalSales" sheetId="19" r:id="rId2"/>
    <sheet name="CountryBarChart" sheetId="21" r:id="rId3"/>
    <sheet name="TopFiveCustomers" sheetId="22" r:id="rId4"/>
    <sheet name="orders" sheetId="17" r:id="rId5"/>
    <sheet name="customers" sheetId="13" r:id="rId6"/>
    <sheet name="products" sheetId="2" r:id="rId7"/>
  </sheets>
  <definedNames>
    <definedName name="_xlnm._FilterDatabase" localSheetId="4" hidden="1">orders!$A$1:$M$1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17" l="1"/>
  <c r="P2" i="17"/>
  <c r="P3" i="17"/>
  <c r="P4" i="17"/>
  <c r="P5" i="17"/>
  <c r="P6"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10" i="17"/>
  <c r="M10" i="17" s="1"/>
  <c r="J7" i="17"/>
  <c r="O7" i="17" s="1"/>
  <c r="I7" i="17"/>
  <c r="N7"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K7" i="17"/>
  <c r="L7" i="17"/>
  <c r="M7" i="17" s="1"/>
  <c r="I8" i="17"/>
  <c r="N8" i="17" s="1"/>
  <c r="J8" i="17"/>
  <c r="O8" i="17" s="1"/>
  <c r="K8" i="17"/>
  <c r="L8" i="17"/>
  <c r="M8" i="17" s="1"/>
  <c r="I9" i="17"/>
  <c r="N9" i="17" s="1"/>
  <c r="J9" i="17"/>
  <c r="O9" i="17" s="1"/>
  <c r="K9" i="17"/>
  <c r="L9" i="17"/>
  <c r="M9" i="17" s="1"/>
  <c r="I10" i="17"/>
  <c r="N10" i="17" s="1"/>
  <c r="J10" i="17"/>
  <c r="O10" i="17" s="1"/>
  <c r="K10" i="17"/>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<sst xmlns="http://schemas.openxmlformats.org/spreadsheetml/2006/main" count="11128" uniqueCount="6221">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</sst>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164" formatCode="0.0"/>
    <numFmt numFmtId="165" formatCode="dd\-mmm\-yyyy"/>
    <numFmt numFmtId="166" formatCode="0.0\ &quot;Kg&quot;"/>
    <numFmt numFmtId="167"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5" fontId="0" fillId="0" borderId="0" xfId="0" applyNumberFormat="1"/>
  </cellXfs>
  <cellStyles count="1">
    <cellStyle name="Normal" xfId="0" builtinId="0"/>
  </cellStyles>
  <dxfs count="12">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A25D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25D3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A25D3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A25D3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3131756938266"/>
          <c:y val="0.10520669291338583"/>
          <c:w val="0.69722419072615927"/>
          <c:h val="0.74077974628171483"/>
        </c:manualLayout>
      </c:layout>
      <c:lineChart>
        <c:grouping val="standard"/>
        <c:varyColors val="0"/>
        <c:ser>
          <c:idx val="0"/>
          <c:order val="0"/>
          <c:tx>
            <c:strRef>
              <c:f>TotalSales!$C$3:$C$4</c:f>
              <c:strCache>
                <c:ptCount val="1"/>
                <c:pt idx="0">
                  <c:v>Arabica</c:v>
                </c:pt>
              </c:strCache>
            </c:strRef>
          </c:tx>
          <c:spPr>
            <a:ln w="28575" cap="rnd">
              <a:solidFill>
                <a:srgbClr val="00206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4D2-8B4D-B964-EC8706DC15E9}"/>
            </c:ext>
          </c:extLst>
        </c:ser>
        <c:ser>
          <c:idx val="1"/>
          <c:order val="1"/>
          <c:tx>
            <c:strRef>
              <c:f>TotalSales!$D$3:$D$4</c:f>
              <c:strCache>
                <c:ptCount val="1"/>
                <c:pt idx="0">
                  <c:v>Excelsa</c:v>
                </c:pt>
              </c:strCache>
            </c:strRef>
          </c:tx>
          <c:spPr>
            <a:ln w="28575" cap="rnd">
              <a:solidFill>
                <a:srgbClr val="A25D3E"/>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4D2-8B4D-B964-EC8706DC15E9}"/>
            </c:ext>
          </c:extLst>
        </c:ser>
        <c:ser>
          <c:idx val="2"/>
          <c:order val="2"/>
          <c:tx>
            <c:strRef>
              <c:f>TotalSales!$E$3:$E$4</c:f>
              <c:strCache>
                <c:ptCount val="1"/>
                <c:pt idx="0">
                  <c:v>Liberica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4D2-8B4D-B964-EC8706DC15E9}"/>
            </c:ext>
          </c:extLst>
        </c:ser>
        <c:ser>
          <c:idx val="3"/>
          <c:order val="3"/>
          <c:tx>
            <c:strRef>
              <c:f>TotalSales!$F$3:$F$4</c:f>
              <c:strCache>
                <c:ptCount val="1"/>
                <c:pt idx="0">
                  <c:v>Robusta</c:v>
                </c:pt>
              </c:strCache>
            </c:strRef>
          </c:tx>
          <c:spPr>
            <a:ln w="28575" cap="rnd">
              <a:solidFill>
                <a:schemeClr val="accent6">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74D2-8B4D-B964-EC8706DC15E9}"/>
            </c:ext>
          </c:extLst>
        </c:ser>
        <c:dLbls>
          <c:showLegendKey val="0"/>
          <c:showVal val="0"/>
          <c:showCatName val="0"/>
          <c:showSerName val="0"/>
          <c:showPercent val="0"/>
          <c:showBubbleSize val="0"/>
        </c:dLbls>
        <c:smooth val="0"/>
        <c:axId val="1641641567"/>
        <c:axId val="1641770735"/>
      </c:lineChart>
      <c:catAx>
        <c:axId val="164164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770735"/>
        <c:crosses val="autoZero"/>
        <c:auto val="1"/>
        <c:lblAlgn val="ctr"/>
        <c:lblOffset val="100"/>
        <c:noMultiLvlLbl val="0"/>
      </c:catAx>
      <c:valAx>
        <c:axId val="1641770735"/>
        <c:scaling>
          <c:orientation val="minMax"/>
        </c:scaling>
        <c:delete val="0"/>
        <c:axPos val="l"/>
        <c:majorGridlines>
          <c:spPr>
            <a:ln w="9525" cap="flat" cmpd="sng" algn="ctr">
              <a:solidFill>
                <a:schemeClr val="tx1">
                  <a:alpha val="22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layout>
            <c:manualLayout>
              <c:xMode val="edge"/>
              <c:yMode val="edge"/>
              <c:x val="4.3349948959185258E-2"/>
              <c:y val="0.456444741282339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641567"/>
        <c:crosses val="autoZero"/>
        <c:crossBetween val="between"/>
      </c:valAx>
      <c:spPr>
        <a:noFill/>
        <a:ln>
          <a:solidFill>
            <a:schemeClr val="tx1"/>
          </a:solidFill>
        </a:ln>
        <a:effectLst/>
      </c:spPr>
    </c:plotArea>
    <c:legend>
      <c:legendPos val="r"/>
      <c:overlay val="0"/>
      <c:spPr>
        <a:solidFill>
          <a:schemeClr val="bg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by</a:t>
            </a:r>
            <a:r>
              <a:rPr lang="en-US" baseline="0">
                <a:solidFill>
                  <a:schemeClr val="tx1"/>
                </a:solidFill>
              </a:rPr>
              <a:t>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60000"/>
              <a:lumOff val="40000"/>
            </a:schemeClr>
          </a:solidFill>
          <a:ln>
            <a:noFill/>
          </a:ln>
          <a:effectLst/>
        </c:spPr>
      </c:pivotFmt>
      <c:pivotFmt>
        <c:idx val="3"/>
        <c:spPr>
          <a:solidFill>
            <a:schemeClr val="bg2">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75000"/>
            </a:schemeClr>
          </a:solidFill>
          <a:ln>
            <a:noFill/>
          </a:ln>
          <a:effectLst/>
        </c:spPr>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a:noFill/>
          </a:ln>
          <a:effectLst/>
        </c:spPr>
      </c:pivotFmt>
      <c:pivotFmt>
        <c:idx val="10"/>
        <c:spPr>
          <a:solidFill>
            <a:schemeClr val="accent1">
              <a:lumMod val="60000"/>
              <a:lumOff val="40000"/>
            </a:schemeClr>
          </a:solidFill>
          <a:ln>
            <a:noFill/>
          </a:ln>
          <a:effectLst/>
        </c:spPr>
      </c:pivotFmt>
      <c:pivotFmt>
        <c:idx val="11"/>
        <c:spPr>
          <a:solidFill>
            <a:srgbClr val="0070C0"/>
          </a:solidFill>
          <a:ln>
            <a:noFill/>
          </a:ln>
          <a:effectLst/>
        </c:spPr>
      </c:pivotFmt>
    </c:pivotFmts>
    <c:plotArea>
      <c:layout>
        <c:manualLayout>
          <c:layoutTarget val="inner"/>
          <c:xMode val="edge"/>
          <c:yMode val="edge"/>
          <c:x val="0.1564228026100592"/>
          <c:y val="0.15729162665642404"/>
          <c:w val="0.78400546291456608"/>
          <c:h val="0.65754321106203184"/>
        </c:manualLayout>
      </c:layout>
      <c:barChart>
        <c:barDir val="bar"/>
        <c:grouping val="clustered"/>
        <c:varyColors val="0"/>
        <c:ser>
          <c:idx val="0"/>
          <c:order val="0"/>
          <c:tx>
            <c:strRef>
              <c:f>CountryBarChart!$B$3</c:f>
              <c:strCache>
                <c:ptCount val="1"/>
                <c:pt idx="0">
                  <c:v>Total</c:v>
                </c:pt>
              </c:strCache>
            </c:strRef>
          </c:tx>
          <c:spPr>
            <a:solidFill>
              <a:srgbClr val="0070C0"/>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138A-1F43-A483-D821D8AB22A0}"/>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138A-1F43-A483-D821D8AB22A0}"/>
              </c:ext>
            </c:extLst>
          </c:dPt>
          <c:dPt>
            <c:idx val="2"/>
            <c:invertIfNegative val="0"/>
            <c:bubble3D val="0"/>
            <c:spPr>
              <a:solidFill>
                <a:srgbClr val="0070C0"/>
              </a:solidFill>
              <a:ln>
                <a:noFill/>
              </a:ln>
              <a:effectLst/>
            </c:spPr>
            <c:extLst>
              <c:ext xmlns:c16="http://schemas.microsoft.com/office/drawing/2014/chart" uri="{C3380CC4-5D6E-409C-BE32-E72D297353CC}">
                <c16:uniqueId val="{00000005-138A-1F43-A483-D821D8AB22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138A-1F43-A483-D821D8AB22A0}"/>
            </c:ext>
          </c:extLst>
        </c:ser>
        <c:dLbls>
          <c:dLblPos val="outEnd"/>
          <c:showLegendKey val="0"/>
          <c:showVal val="1"/>
          <c:showCatName val="0"/>
          <c:showSerName val="0"/>
          <c:showPercent val="0"/>
          <c:showBubbleSize val="0"/>
        </c:dLbls>
        <c:gapWidth val="182"/>
        <c:axId val="746493503"/>
        <c:axId val="746388223"/>
      </c:barChart>
      <c:catAx>
        <c:axId val="74649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88223"/>
        <c:crosses val="autoZero"/>
        <c:auto val="1"/>
        <c:lblAlgn val="ctr"/>
        <c:lblOffset val="100"/>
        <c:noMultiLvlLbl val="0"/>
      </c:catAx>
      <c:valAx>
        <c:axId val="746388223"/>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Sales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quot;$&quot;#,##0\)" sourceLinked="1"/>
        <c:majorTickMark val="none"/>
        <c:minorTickMark val="none"/>
        <c:tickLblPos val="nextTo"/>
        <c:crossAx val="74649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[coffeeOrdersData.xlsx]TopFiveCustomers!TotalSales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tx1"/>
                </a:solidFill>
              </a:rPr>
              <a:t>Top Five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60000"/>
              <a:lumOff val="40000"/>
            </a:schemeClr>
          </a:solidFill>
          <a:ln>
            <a:noFill/>
          </a:ln>
          <a:effectLst/>
        </c:spPr>
      </c:pivotFmt>
      <c:pivotFmt>
        <c:idx val="3"/>
        <c:spPr>
          <a:solidFill>
            <a:schemeClr val="bg2">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75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0C0"/>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
        <c:idx val="18"/>
        <c:spPr>
          <a:solidFill>
            <a:schemeClr val="bg2">
              <a:lumMod val="90000"/>
            </a:schemeClr>
          </a:solidFill>
          <a:ln>
            <a:noFill/>
          </a:ln>
          <a:effectLst/>
        </c:spPr>
      </c:pivotFmt>
    </c:pivotFmts>
    <c:plotArea>
      <c:layout/>
      <c:barChart>
        <c:barDir val="bar"/>
        <c:grouping val="clustered"/>
        <c:varyColors val="0"/>
        <c:ser>
          <c:idx val="0"/>
          <c:order val="0"/>
          <c:tx>
            <c:strRef>
              <c:f>TopFiveCustomers!$B$3</c:f>
              <c:strCache>
                <c:ptCount val="1"/>
                <c:pt idx="0">
                  <c:v>Total</c:v>
                </c:pt>
              </c:strCache>
            </c:strRef>
          </c:tx>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5-BAB5-844E-83E0-A473117310C9}"/>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4-BAB5-844E-83E0-A473117310C9}"/>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BAB5-844E-83E0-A473117310C9}"/>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BAB5-844E-83E0-A473117310C9}"/>
              </c:ext>
            </c:extLst>
          </c:dPt>
          <c:dPt>
            <c:idx val="4"/>
            <c:invertIfNegative val="0"/>
            <c:bubble3D val="0"/>
            <c:spPr>
              <a:solidFill>
                <a:srgbClr val="0070C0"/>
              </a:solidFill>
              <a:ln>
                <a:noFill/>
              </a:ln>
              <a:effectLst/>
            </c:spPr>
            <c:extLst>
              <c:ext xmlns:c16="http://schemas.microsoft.com/office/drawing/2014/chart" uri="{C3380CC4-5D6E-409C-BE32-E72D297353CC}">
                <c16:uniqueId val="{00000001-BAB5-844E-83E0-A473117310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TopFiveCustomers!$A$4:$A$8</c:f>
              <c:strCache>
                <c:ptCount val="5"/>
                <c:pt idx="0">
                  <c:v>Don Flintiff</c:v>
                </c:pt>
                <c:pt idx="1">
                  <c:v>Nealson Cuttler</c:v>
                </c:pt>
                <c:pt idx="2">
                  <c:v>Terri Farra</c:v>
                </c:pt>
                <c:pt idx="3">
                  <c:v>Brenn Dundredge</c:v>
                </c:pt>
                <c:pt idx="4">
                  <c:v>Allis Wilmore</c:v>
                </c:pt>
              </c:strCache>
            </c:strRef>
          </c:cat>
          <c:val>
            <c:numRef>
              <c:f>TopFiveCustomers!$B$4:$B$8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BAB5-844E-83E0-A473117310C9}"/>
            </c:ext>
          </c:extLst>
        </c:ser>
        <c:dLbls>
          <c:dLblPos val="outEnd"/>
          <c:showLegendKey val="0"/>
          <c:showVal val="1"/>
          <c:showCatName val="0"/>
          <c:showSerName val="0"/>
          <c:showPercent val="0"/>
          <c:showBubbleSize val="0"/>
        </c:dLbls>
        <c:gapWidth val="182"/>
        <c:axId val="746493503"/>
        <c:axId val="746388223"/>
      </c:barChart>
      <c:catAx>
        <c:axId val="74649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88223"/>
        <c:crosses val="autoZero"/>
        <c:auto val="1"/>
        <c:lblAlgn val="ctr"/>
        <c:lblOffset val="100"/>
        <c:noMultiLvlLbl val="0"/>
      </c:catAx>
      <c:valAx>
        <c:axId val="746388223"/>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quot;$&quot;#,##0\)" sourceLinked="1"/>
        <c:majorTickMark val="none"/>
        <c:minorTickMark val="none"/>
        <c:tickLblPos val="nextTo"/>
        <c:crossAx val="74649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25400</xdr:colOff>
      <xdr:row>1</xdr:row>
      <xdr:rowOff>25400</xdr:rowOff>
    </xdr:from>
    <xdr:to>
      <xdr:col>20</xdr:col>
      <xdr:colOff>774700</xdr:colOff>
      <xdr:row>5</xdr:row>
      <xdr:rowOff>12700</xdr:rowOff>
    </xdr:to>
    <xdr:sp macro="" textlink="">
      <xdr:nvSpPr>
        <xdr:cNvPr id="2" name="Rectangle 1">
          <a:extLst>
            <a:ext uri="{FF2B5EF4-FFF2-40B4-BE49-F238E27FC236}">
              <a16:creationId xmlns:a16="http://schemas.microsoft.com/office/drawing/2014/main" id="{F583FA9B-C468-5E6A-9838-83C3ED7C5484}"/>
            </a:ext>
          </a:extLst>
        </xdr:cNvPr>
        <xdr:cNvSpPr/>
      </xdr:nvSpPr>
      <xdr:spPr>
        <a:xfrm>
          <a:off x="165100" y="88900"/>
          <a:ext cx="16433800" cy="749300"/>
        </a:xfrm>
        <a:prstGeom prst="rect">
          <a:avLst/>
        </a:prstGeom>
        <a:solidFill>
          <a:schemeClr val="accent1">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bg1"/>
              </a:solidFill>
            </a:rPr>
            <a:t>COFFEE</a:t>
          </a:r>
          <a:r>
            <a:rPr lang="en-US" sz="4400" b="1" baseline="0">
              <a:solidFill>
                <a:schemeClr val="bg1"/>
              </a:solidFill>
            </a:rPr>
            <a:t> SALES DASHBOARD</a:t>
          </a:r>
          <a:endParaRPr lang="en-US" sz="4400" b="1">
            <a:solidFill>
              <a:schemeClr val="bg1"/>
            </a:solidFill>
          </a:endParaRPr>
        </a:p>
      </xdr:txBody>
    </xdr:sp>
    <xdr:clientData/>
  </xdr:twoCellAnchor>
  <xdr:twoCellAnchor>
    <xdr:from>
      <xdr:col>0</xdr:col>
      <xdr:colOff>133350</xdr:colOff>
      <xdr:row>17</xdr:row>
      <xdr:rowOff>24903</xdr:rowOff>
    </xdr:from>
    <xdr:to>
      <xdr:col>14</xdr:col>
      <xdr:colOff>249020</xdr:colOff>
      <xdr:row>43</xdr:row>
      <xdr:rowOff>177800</xdr:rowOff>
    </xdr:to>
    <xdr:graphicFrame macro="">
      <xdr:nvGraphicFramePr>
        <xdr:cNvPr id="3" name="Chart 2">
          <a:extLst>
            <a:ext uri="{FF2B5EF4-FFF2-40B4-BE49-F238E27FC236}">
              <a16:creationId xmlns:a16="http://schemas.microsoft.com/office/drawing/2014/main" id="{F5C2667B-0951-1849-94E2-B0D3A6F11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25398</xdr:rowOff>
    </xdr:from>
    <xdr:to>
      <xdr:col>14</xdr:col>
      <xdr:colOff>215900</xdr:colOff>
      <xdr:row>15</xdr:row>
      <xdr:rowOff>182615</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F8444C21-E594-2F4A-838C-8D798873B62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4021" y="941893"/>
              <a:ext cx="10938889" cy="19247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52372</xdr:colOff>
      <xdr:row>10</xdr:row>
      <xdr:rowOff>50800</xdr:rowOff>
    </xdr:from>
    <xdr:to>
      <xdr:col>20</xdr:col>
      <xdr:colOff>749300</xdr:colOff>
      <xdr:row>15</xdr:row>
      <xdr:rowOff>174314</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21B91C12-6340-AD4F-809E-B2BC673D445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393918" y="1752862"/>
              <a:ext cx="3171464" cy="1105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275472</xdr:colOff>
      <xdr:row>6</xdr:row>
      <xdr:rowOff>38100</xdr:rowOff>
    </xdr:from>
    <xdr:to>
      <xdr:col>20</xdr:col>
      <xdr:colOff>759381</xdr:colOff>
      <xdr:row>9</xdr:row>
      <xdr:rowOff>177800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260967CF-1A5C-E342-B93A-BBD3A244D53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142482" y="954595"/>
              <a:ext cx="5432981" cy="7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275080</xdr:colOff>
      <xdr:row>10</xdr:row>
      <xdr:rowOff>65464</xdr:rowOff>
    </xdr:from>
    <xdr:to>
      <xdr:col>17</xdr:col>
      <xdr:colOff>8380</xdr:colOff>
      <xdr:row>15</xdr:row>
      <xdr:rowOff>177800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EA7B43F0-F04D-3343-AB4D-BABBA720C46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142090" y="1767526"/>
              <a:ext cx="2207836" cy="1094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314227</xdr:colOff>
      <xdr:row>17</xdr:row>
      <xdr:rowOff>19092</xdr:rowOff>
    </xdr:from>
    <xdr:to>
      <xdr:col>20</xdr:col>
      <xdr:colOff>730457</xdr:colOff>
      <xdr:row>28</xdr:row>
      <xdr:rowOff>6392</xdr:rowOff>
    </xdr:to>
    <xdr:graphicFrame macro="">
      <xdr:nvGraphicFramePr>
        <xdr:cNvPr id="8" name="Chart 7">
          <a:extLst>
            <a:ext uri="{FF2B5EF4-FFF2-40B4-BE49-F238E27FC236}">
              <a16:creationId xmlns:a16="http://schemas.microsoft.com/office/drawing/2014/main" id="{1E523638-DF99-7D4F-983A-3E412D712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301134</xdr:colOff>
      <xdr:row>28</xdr:row>
      <xdr:rowOff>75202</xdr:rowOff>
    </xdr:from>
    <xdr:to>
      <xdr:col>20</xdr:col>
      <xdr:colOff>757601</xdr:colOff>
      <xdr:row>43</xdr:row>
      <xdr:rowOff>190914</xdr:rowOff>
    </xdr:to>
    <xdr:graphicFrame macro="">
      <xdr:nvGraphicFramePr>
        <xdr:cNvPr id="9" name="Chart 8">
          <a:extLst>
            <a:ext uri="{FF2B5EF4-FFF2-40B4-BE49-F238E27FC236}">
              <a16:creationId xmlns:a16="http://schemas.microsoft.com/office/drawing/2014/main" id="{ACAE4F9C-2747-B046-BFD4-37823B014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uru" refreshedDate="45958.539918518516" createdVersion="8" refreshedVersion="8" minRefreshableVersion="3" recordCount="1000" xr:uid="{36C5818D-01F5-8F45-874D-44F77E0B081B}">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1328744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D93ABF-FBED-5642-93B2-5F9959183A01}" name="Total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7"/>
  </dataFields>
  <chartFormats count="8">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685625-7D64-FD49-934D-2F1C5EFC50B8}" name="Total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0" numFmtId="5"/>
  </dataFields>
  <chartFormats count="8">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2"/>
          </reference>
        </references>
      </pivotArea>
    </chartFormat>
    <chartFormat chart="10" format="11">
      <pivotArea type="data" outline="0" fieldPosition="0">
        <references count="2">
          <reference field="4294967294" count="1" selected="0">
            <x v="0"/>
          </reference>
          <reference field="7"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2"/>
          </reference>
        </references>
      </pivotArea>
    </chartFormat>
    <chartFormat chart="12"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86BBD8-8411-6D4E-8928-2ADE6CC54D04}" name="Total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5"/>
  </dataFields>
  <chartFormats count="9">
    <chartFormat chart="4"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5" count="1" selected="0">
            <x v="28"/>
          </reference>
        </references>
      </pivotArea>
    </chartFormat>
    <chartFormat chart="12" format="15">
      <pivotArea type="data" outline="0" fieldPosition="0">
        <references count="2">
          <reference field="4294967294" count="1" selected="0">
            <x v="0"/>
          </reference>
          <reference field="5" count="1" selected="0">
            <x v="125"/>
          </reference>
        </references>
      </pivotArea>
    </chartFormat>
    <chartFormat chart="12" format="16">
      <pivotArea type="data" outline="0" fieldPosition="0">
        <references count="2">
          <reference field="4294967294" count="1" selected="0">
            <x v="0"/>
          </reference>
          <reference field="5" count="1" selected="0">
            <x v="831"/>
          </reference>
        </references>
      </pivotArea>
    </chartFormat>
    <chartFormat chart="12" format="17">
      <pivotArea type="data" outline="0" fieldPosition="0">
        <references count="2">
          <reference field="4294967294" count="1" selected="0">
            <x v="0"/>
          </reference>
          <reference field="5" count="1" selected="0">
            <x v="646"/>
          </reference>
        </references>
      </pivotArea>
    </chartFormat>
    <chartFormat chart="12" format="18">
      <pivotArea type="data" outline="0" fieldPosition="0">
        <references count="2">
          <reference field="4294967294" count="1" selected="0">
            <x v="0"/>
          </reference>
          <reference field="5" count="1" selected="0">
            <x v="255"/>
          </reference>
        </references>
      </pivotArea>
    </chartFormat>
  </chartFormats>
  <pivotTableStyleInfo name="PivotStyleMedium9" showRowHeaders="1" showColHeaders="1" showRowStripes="0" showColStripes="0" showLastColumn="1"/>
  <filters count="1">
    <filter fld="5" type="count" evalOrder="-1" id="4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A998453-A81A-2243-BED4-964CC460D568}" sourceName="Size">
  <pivotTables>
    <pivotTable tabId="19" name="TotalSales"/>
    <pivotTable tabId="21" name="TotalSales"/>
    <pivotTable tabId="22" name="TotalSales"/>
  </pivotTables>
  <data>
    <tabular pivotCacheId="132874443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686E913-1E75-0E45-B015-92BEDAB9C965}" sourceName="Roast Type Name">
  <pivotTables>
    <pivotTable tabId="19" name="TotalSales"/>
    <pivotTable tabId="21" name="TotalSales"/>
    <pivotTable tabId="22" name="TotalSales"/>
  </pivotTables>
  <data>
    <tabular pivotCacheId="132874443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523951A-20AA-7A40-B010-8DBAB4BD5026}" sourceName="Loyalty Card">
  <pivotTables>
    <pivotTable tabId="19" name="TotalSales"/>
    <pivotTable tabId="21" name="TotalSales"/>
    <pivotTable tabId="22" name="TotalSales"/>
  </pivotTables>
  <data>
    <tabular pivotCacheId="13287444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4A7AB64-AA78-C34C-ADD2-85D5A41F8548}" cache="Slicer_Size" caption="Size" columnCount="2" rowHeight="230716"/>
  <slicer name="Roast Type Name" xr10:uid="{B78EF1FD-051A-3542-B60F-239DA336C08F}" cache="Slicer_Roast_Type_Name" caption="Roast Type Name" columnCount="3" style="SlicerStyleDark1" rowHeight="230716"/>
  <slicer name="Loyalty Card" xr10:uid="{CDDD28E9-8E41-DC42-87F9-5FDF985F87A4}" cache="Slicer_Loyalty_Card" caption="Loyalty Card" columnCoun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CE022C-67D4-9A4C-A1BC-4B823BCEC525}" name="Orders" displayName="Orders" ref="A1:P1001" totalsRowShown="0" headerRowDxfId="11">
  <autoFilter ref="A1:P1001" xr:uid="{48CE022C-67D4-9A4C-A1BC-4B823BCEC525}"/>
  <tableColumns count="16">
    <tableColumn id="1" xr3:uid="{925C4ED9-55C1-E04F-8DBB-73DBD6185737}" name="Order ID" dataDxfId="10"/>
    <tableColumn id="2" xr3:uid="{66829AB7-15DF-0047-AC1E-3630C6D8C3D9}" name="Order Date" dataDxfId="9"/>
    <tableColumn id="3" xr3:uid="{C72C938C-7B03-6347-8F04-2DFD28AA51DC}" name="Customer ID" dataDxfId="8"/>
    <tableColumn id="4" xr3:uid="{A615D445-B316-EF45-88EF-9BD5B6F8B614}" name="Product ID"/>
    <tableColumn id="5" xr3:uid="{8901818C-3EB0-7340-916D-DAEA7427B281}" name="Quantity" dataDxfId="7"/>
    <tableColumn id="6" xr3:uid="{EE58B097-7658-3C47-8F80-FD501AF33F8E}" name="Customer Name" dataDxfId="6">
      <calculatedColumnFormula>_xlfn.XLOOKUP(C2,customers!$A$1:$A$1001,customers!$B$1:$B$1001,,0)</calculatedColumnFormula>
    </tableColumn>
    <tableColumn id="7" xr3:uid="{E396F0FF-76FF-9E47-9349-DACAF5C9886F}" name="Email" dataDxfId="5">
      <calculatedColumnFormula>IF(_xlfn.XLOOKUP(C2,customers!$A$1:$A$1001,customers!$C$1:$C$1001,,0)=0,"",_xlfn.XLOOKUP(C2,customers!$A$1:$A$1001,customers!$C$1:$C$1001,,0))</calculatedColumnFormula>
    </tableColumn>
    <tableColumn id="8" xr3:uid="{480B96EA-6DBE-9F46-9F12-FF1777A2AAFF}" name="Country" dataDxfId="4">
      <calculatedColumnFormula>_xlfn.XLOOKUP(C2,customers!$A$1:$A$1001,customers!$G$1:$G$1001,,0)</calculatedColumnFormula>
    </tableColumn>
    <tableColumn id="9" xr3:uid="{B87266CA-34C8-B84F-BE7A-0DEB1ED034D1}" name="Coffee Type">
      <calculatedColumnFormula>INDEX(products!$A$1:$G$49,MATCH(orders!$D2,products!$A$1:$A$49,0),MATCH(orders!I$1,products!$A$1:$G$1,0))</calculatedColumnFormula>
    </tableColumn>
    <tableColumn id="10" xr3:uid="{CEBBF831-2E17-7E44-A3B5-64F22F3DBCD6}" name="Roast Type">
      <calculatedColumnFormula>INDEX(products!$A$1:$G$49,MATCH(orders!$D2,products!$A$1:$A$49,0),MATCH(orders!J$1,products!$A$1:$G$1,0))</calculatedColumnFormula>
    </tableColumn>
    <tableColumn id="11" xr3:uid="{9D4CE3EE-BE70-AE4D-A34B-9A637B59295E}" name="Size" dataDxfId="3">
      <calculatedColumnFormula>INDEX(products!$A$1:$G$49,MATCH(orders!$D2,products!$A$1:$A$49,0),MATCH(orders!K$1,products!$A$1:$G$1,0))</calculatedColumnFormula>
    </tableColumn>
    <tableColumn id="12" xr3:uid="{48E11F18-FAE1-444A-9D41-0483BF2BD8E3}" name="Unit Price" dataDxfId="2">
      <calculatedColumnFormula>INDEX(products!$A$1:$G$49,MATCH(orders!$D2,products!$A$1:$A$49,0),MATCH(orders!L$1,products!$A$1:$G$1,0))</calculatedColumnFormula>
    </tableColumn>
    <tableColumn id="13" xr3:uid="{740E727B-63FB-2344-B8CE-27FD00E6BA57}" name="Sales" dataDxfId="1">
      <calculatedColumnFormula>L2*E2</calculatedColumnFormula>
    </tableColumn>
    <tableColumn id="14" xr3:uid="{9AE11CAC-216A-F844-8EA8-B0A731951F38}" name="Coffe Type Name">
      <calculatedColumnFormula>IF(I2="Rob","Robusta",IF(I2="Exc","Excelsa",IF(I2="Ara","Arabica",IF(I2="Lib","Liberica",""))))</calculatedColumnFormula>
    </tableColumn>
    <tableColumn id="15" xr3:uid="{A8C893FA-5F78-9642-AAD5-7129B3612699}" name="Roast Type Name">
      <calculatedColumnFormula>IF(J2="M","Medium",IF(J2="L","Light",IF(J2="D","Dark","")))</calculatedColumnFormula>
    </tableColumn>
    <tableColumn id="16" xr3:uid="{F86ACCDB-B737-D640-BF8F-C1EBB09ABC67}" name="Loyalty Card" dataDxfId="0">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C0F42E7-E5B5-1740-A6BB-20774C52D7D5}" sourceName="Order Date">
  <pivotTables>
    <pivotTable tabId="19" name="TotalSales"/>
    <pivotTable tabId="21" name="TotalSales"/>
    <pivotTable tabId="22" name="TotalSales"/>
  </pivotTables>
  <state minimalRefreshVersion="6" lastRefreshVersion="6" pivotCacheId="132874443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90690A4-009E-F940-9A60-8B9C1BDB5C37}" cache="NativeTimeline_Order_Date" caption="Order Date" level="2" selectionLevel="2" scrollPosition="2020-11-15T00:00:00" style="TimeSlicerStyleLight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40DC-9CE7-EC49-8B1D-127A7287BA97}">
  <dimension ref="A1:A17"/>
  <sheetViews>
    <sheetView tabSelected="1" zoomScale="97" zoomScaleNormal="97" workbookViewId="0">
      <selection activeCell="W8" sqref="W8"/>
    </sheetView>
  </sheetViews>
  <sheetFormatPr baseColWidth="10" defaultRowHeight="15" x14ac:dyDescent="0.2"/>
  <cols>
    <col min="1" max="1" width="1.83203125" customWidth="1"/>
  </cols>
  <sheetData>
    <row r="1" ht="5" customHeight="1" x14ac:dyDescent="0.2"/>
    <row r="6" ht="5" customHeight="1" x14ac:dyDescent="0.2"/>
    <row r="17"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7C08D-8115-3D4A-A257-81558B341F75}">
  <dimension ref="A3:F48"/>
  <sheetViews>
    <sheetView workbookViewId="0">
      <selection activeCell="W24" sqref="W24"/>
    </sheetView>
  </sheetViews>
  <sheetFormatPr baseColWidth="10" defaultRowHeight="15" x14ac:dyDescent="0.2"/>
  <cols>
    <col min="1" max="1" width="12.1640625" bestFit="1" customWidth="1"/>
    <col min="2" max="2" width="19.6640625" bestFit="1" customWidth="1"/>
    <col min="3" max="3" width="16.5" bestFit="1" customWidth="1"/>
    <col min="4" max="4" width="6.6640625" bestFit="1" customWidth="1"/>
    <col min="5" max="6" width="7.33203125" bestFit="1" customWidth="1"/>
  </cols>
  <sheetData>
    <row r="3" spans="1:6" x14ac:dyDescent="0.2">
      <c r="A3" s="6" t="s">
        <v>6220</v>
      </c>
      <c r="C3" s="6" t="s">
        <v>6196</v>
      </c>
    </row>
    <row r="4" spans="1:6" x14ac:dyDescent="0.2">
      <c r="A4" s="6" t="s">
        <v>6214</v>
      </c>
      <c r="B4" s="6" t="s">
        <v>6215</v>
      </c>
      <c r="C4" t="s">
        <v>6216</v>
      </c>
      <c r="D4" t="s">
        <v>6217</v>
      </c>
      <c r="E4" t="s">
        <v>6218</v>
      </c>
      <c r="F4" t="s">
        <v>6219</v>
      </c>
    </row>
    <row r="5" spans="1:6" x14ac:dyDescent="0.2">
      <c r="A5" t="s">
        <v>6198</v>
      </c>
      <c r="B5" t="s">
        <v>6202</v>
      </c>
      <c r="C5" s="7">
        <v>186.85499999999999</v>
      </c>
      <c r="D5" s="7">
        <v>305.97000000000003</v>
      </c>
      <c r="E5" s="7">
        <v>213.15999999999997</v>
      </c>
      <c r="F5" s="7">
        <v>123</v>
      </c>
    </row>
    <row r="6" spans="1:6" x14ac:dyDescent="0.2">
      <c r="B6" t="s">
        <v>6203</v>
      </c>
      <c r="C6" s="7">
        <v>251.96499999999997</v>
      </c>
      <c r="D6" s="7">
        <v>129.46</v>
      </c>
      <c r="E6" s="7">
        <v>434.03999999999996</v>
      </c>
      <c r="F6" s="7">
        <v>171.93999999999997</v>
      </c>
    </row>
    <row r="7" spans="1:6" x14ac:dyDescent="0.2">
      <c r="B7" t="s">
        <v>6204</v>
      </c>
      <c r="C7" s="7">
        <v>224.94499999999999</v>
      </c>
      <c r="D7" s="7">
        <v>349.12</v>
      </c>
      <c r="E7" s="7">
        <v>321.04000000000002</v>
      </c>
      <c r="F7" s="7">
        <v>126.035</v>
      </c>
    </row>
    <row r="8" spans="1:6" x14ac:dyDescent="0.2">
      <c r="B8" t="s">
        <v>6205</v>
      </c>
      <c r="C8" s="7">
        <v>307.12</v>
      </c>
      <c r="D8" s="7">
        <v>681.07499999999993</v>
      </c>
      <c r="E8" s="7">
        <v>533.70499999999993</v>
      </c>
      <c r="F8" s="7">
        <v>158.85</v>
      </c>
    </row>
    <row r="9" spans="1:6" x14ac:dyDescent="0.2">
      <c r="B9" t="s">
        <v>6206</v>
      </c>
      <c r="C9" s="7">
        <v>53.664999999999992</v>
      </c>
      <c r="D9" s="7">
        <v>83.025000000000006</v>
      </c>
      <c r="E9" s="7">
        <v>193.83499999999998</v>
      </c>
      <c r="F9" s="7">
        <v>68.039999999999992</v>
      </c>
    </row>
    <row r="10" spans="1:6" x14ac:dyDescent="0.2">
      <c r="B10" t="s">
        <v>6207</v>
      </c>
      <c r="C10" s="7">
        <v>163.01999999999998</v>
      </c>
      <c r="D10" s="7">
        <v>678.3599999999999</v>
      </c>
      <c r="E10" s="7">
        <v>171.04500000000002</v>
      </c>
      <c r="F10" s="7">
        <v>372.255</v>
      </c>
    </row>
    <row r="11" spans="1:6" x14ac:dyDescent="0.2">
      <c r="B11" t="s">
        <v>6208</v>
      </c>
      <c r="C11" s="7">
        <v>345.02</v>
      </c>
      <c r="D11" s="7">
        <v>273.86999999999995</v>
      </c>
      <c r="E11" s="7">
        <v>184.12999999999997</v>
      </c>
      <c r="F11" s="7">
        <v>201.11499999999998</v>
      </c>
    </row>
    <row r="12" spans="1:6" x14ac:dyDescent="0.2">
      <c r="B12" t="s">
        <v>6209</v>
      </c>
      <c r="C12" s="7">
        <v>334.89</v>
      </c>
      <c r="D12" s="7">
        <v>70.95</v>
      </c>
      <c r="E12" s="7">
        <v>134.23000000000002</v>
      </c>
      <c r="F12" s="7">
        <v>166.27499999999998</v>
      </c>
    </row>
    <row r="13" spans="1:6" x14ac:dyDescent="0.2">
      <c r="B13" t="s">
        <v>6210</v>
      </c>
      <c r="C13" s="7">
        <v>178.70999999999998</v>
      </c>
      <c r="D13" s="7">
        <v>166.1</v>
      </c>
      <c r="E13" s="7">
        <v>439.30999999999995</v>
      </c>
      <c r="F13" s="7">
        <v>492.9</v>
      </c>
    </row>
    <row r="14" spans="1:6" x14ac:dyDescent="0.2">
      <c r="B14" t="s">
        <v>6211</v>
      </c>
      <c r="C14" s="7">
        <v>301.98500000000001</v>
      </c>
      <c r="D14" s="7">
        <v>153.76499999999999</v>
      </c>
      <c r="E14" s="7">
        <v>215.55499999999998</v>
      </c>
      <c r="F14" s="7">
        <v>213.66499999999999</v>
      </c>
    </row>
    <row r="15" spans="1:6" x14ac:dyDescent="0.2">
      <c r="B15" t="s">
        <v>6212</v>
      </c>
      <c r="C15" s="7">
        <v>312.83499999999998</v>
      </c>
      <c r="D15" s="7">
        <v>63.249999999999993</v>
      </c>
      <c r="E15" s="7">
        <v>350.89500000000004</v>
      </c>
      <c r="F15" s="7">
        <v>96.405000000000001</v>
      </c>
    </row>
    <row r="16" spans="1:6" x14ac:dyDescent="0.2">
      <c r="B16" t="s">
        <v>6213</v>
      </c>
      <c r="C16" s="7">
        <v>265.62</v>
      </c>
      <c r="D16" s="7">
        <v>526.51499999999987</v>
      </c>
      <c r="E16" s="7">
        <v>187.06</v>
      </c>
      <c r="F16" s="7">
        <v>210.58999999999997</v>
      </c>
    </row>
    <row r="17" spans="1:6" x14ac:dyDescent="0.2">
      <c r="A17" t="s">
        <v>6199</v>
      </c>
      <c r="B17" t="s">
        <v>6202</v>
      </c>
      <c r="C17" s="7">
        <v>47.25</v>
      </c>
      <c r="D17" s="7">
        <v>65.805000000000007</v>
      </c>
      <c r="E17" s="7">
        <v>274.67500000000001</v>
      </c>
      <c r="F17" s="7">
        <v>179.22</v>
      </c>
    </row>
    <row r="18" spans="1:6" x14ac:dyDescent="0.2">
      <c r="B18" t="s">
        <v>6203</v>
      </c>
      <c r="C18" s="7">
        <v>745.44999999999993</v>
      </c>
      <c r="D18" s="7">
        <v>428.88499999999999</v>
      </c>
      <c r="E18" s="7">
        <v>194.17499999999998</v>
      </c>
      <c r="F18" s="7">
        <v>429.82999999999993</v>
      </c>
    </row>
    <row r="19" spans="1:6" x14ac:dyDescent="0.2">
      <c r="B19" t="s">
        <v>6204</v>
      </c>
      <c r="C19" s="7">
        <v>130.47</v>
      </c>
      <c r="D19" s="7">
        <v>271.48500000000001</v>
      </c>
      <c r="E19" s="7">
        <v>281.20499999999998</v>
      </c>
      <c r="F19" s="7">
        <v>231.63000000000002</v>
      </c>
    </row>
    <row r="20" spans="1:6" x14ac:dyDescent="0.2">
      <c r="B20" t="s">
        <v>6205</v>
      </c>
      <c r="C20" s="7">
        <v>27</v>
      </c>
      <c r="D20" s="7">
        <v>347.26</v>
      </c>
      <c r="E20" s="7">
        <v>147.51</v>
      </c>
      <c r="F20" s="7">
        <v>240.04</v>
      </c>
    </row>
    <row r="21" spans="1:6" x14ac:dyDescent="0.2">
      <c r="B21" t="s">
        <v>6206</v>
      </c>
      <c r="C21" s="7">
        <v>255.11499999999995</v>
      </c>
      <c r="D21" s="7">
        <v>541.73</v>
      </c>
      <c r="E21" s="7">
        <v>83.43</v>
      </c>
      <c r="F21" s="7">
        <v>59.079999999999991</v>
      </c>
    </row>
    <row r="22" spans="1:6" x14ac:dyDescent="0.2">
      <c r="B22" t="s">
        <v>6207</v>
      </c>
      <c r="C22" s="7">
        <v>584.78999999999985</v>
      </c>
      <c r="D22" s="7">
        <v>357.42999999999995</v>
      </c>
      <c r="E22" s="7">
        <v>355.34</v>
      </c>
      <c r="F22" s="7">
        <v>140.88</v>
      </c>
    </row>
    <row r="23" spans="1:6" x14ac:dyDescent="0.2">
      <c r="B23" t="s">
        <v>6208</v>
      </c>
      <c r="C23" s="7">
        <v>430.62</v>
      </c>
      <c r="D23" s="7">
        <v>227.42500000000001</v>
      </c>
      <c r="E23" s="7">
        <v>236.315</v>
      </c>
      <c r="F23" s="7">
        <v>414.58499999999992</v>
      </c>
    </row>
    <row r="24" spans="1:6" x14ac:dyDescent="0.2">
      <c r="B24" t="s">
        <v>6209</v>
      </c>
      <c r="C24" s="7">
        <v>22.5</v>
      </c>
      <c r="D24" s="7">
        <v>77.72</v>
      </c>
      <c r="E24" s="7">
        <v>60.5</v>
      </c>
      <c r="F24" s="7">
        <v>139.67999999999998</v>
      </c>
    </row>
    <row r="25" spans="1:6" x14ac:dyDescent="0.2">
      <c r="B25" t="s">
        <v>6210</v>
      </c>
      <c r="C25" s="7">
        <v>126.14999999999999</v>
      </c>
      <c r="D25" s="7">
        <v>195.11</v>
      </c>
      <c r="E25" s="7">
        <v>89.13</v>
      </c>
      <c r="F25" s="7">
        <v>302.65999999999997</v>
      </c>
    </row>
    <row r="26" spans="1:6" x14ac:dyDescent="0.2">
      <c r="B26" t="s">
        <v>6211</v>
      </c>
      <c r="C26" s="7">
        <v>376.03</v>
      </c>
      <c r="D26" s="7">
        <v>523.24</v>
      </c>
      <c r="E26" s="7">
        <v>440.96499999999997</v>
      </c>
      <c r="F26" s="7">
        <v>174.46999999999997</v>
      </c>
    </row>
    <row r="27" spans="1:6" x14ac:dyDescent="0.2">
      <c r="B27" t="s">
        <v>6212</v>
      </c>
      <c r="C27" s="7">
        <v>515.17999999999995</v>
      </c>
      <c r="D27" s="7">
        <v>142.56</v>
      </c>
      <c r="E27" s="7">
        <v>347.03999999999996</v>
      </c>
      <c r="F27" s="7">
        <v>104.08499999999999</v>
      </c>
    </row>
    <row r="28" spans="1:6" x14ac:dyDescent="0.2">
      <c r="B28" t="s">
        <v>6213</v>
      </c>
      <c r="C28" s="7">
        <v>95.859999999999985</v>
      </c>
      <c r="D28" s="7">
        <v>484.76</v>
      </c>
      <c r="E28" s="7">
        <v>94.17</v>
      </c>
      <c r="F28" s="7">
        <v>77.10499999999999</v>
      </c>
    </row>
    <row r="29" spans="1:6" x14ac:dyDescent="0.2">
      <c r="A29" t="s">
        <v>6200</v>
      </c>
      <c r="B29" t="s">
        <v>6202</v>
      </c>
      <c r="C29" s="7">
        <v>258.34500000000003</v>
      </c>
      <c r="D29" s="7">
        <v>139.625</v>
      </c>
      <c r="E29" s="7">
        <v>279.52000000000004</v>
      </c>
      <c r="F29" s="7">
        <v>160.19499999999999</v>
      </c>
    </row>
    <row r="30" spans="1:6" x14ac:dyDescent="0.2">
      <c r="B30" t="s">
        <v>6203</v>
      </c>
      <c r="C30" s="7">
        <v>342.2</v>
      </c>
      <c r="D30" s="7">
        <v>284.24999999999994</v>
      </c>
      <c r="E30" s="7">
        <v>251.83</v>
      </c>
      <c r="F30" s="7">
        <v>80.550000000000011</v>
      </c>
    </row>
    <row r="31" spans="1:6" x14ac:dyDescent="0.2">
      <c r="B31" t="s">
        <v>6204</v>
      </c>
      <c r="C31" s="7">
        <v>418.30499999999989</v>
      </c>
      <c r="D31" s="7">
        <v>468.125</v>
      </c>
      <c r="E31" s="7">
        <v>405.05500000000006</v>
      </c>
      <c r="F31" s="7">
        <v>253.15499999999997</v>
      </c>
    </row>
    <row r="32" spans="1:6" x14ac:dyDescent="0.2">
      <c r="B32" t="s">
        <v>6205</v>
      </c>
      <c r="C32" s="7">
        <v>102.32999999999998</v>
      </c>
      <c r="D32" s="7">
        <v>242.14000000000001</v>
      </c>
      <c r="E32" s="7">
        <v>554.875</v>
      </c>
      <c r="F32" s="7">
        <v>106.23999999999998</v>
      </c>
    </row>
    <row r="33" spans="1:6" x14ac:dyDescent="0.2">
      <c r="B33" t="s">
        <v>6206</v>
      </c>
      <c r="C33" s="7">
        <v>234.71999999999997</v>
      </c>
      <c r="D33" s="7">
        <v>133.08000000000001</v>
      </c>
      <c r="E33" s="7">
        <v>267.2</v>
      </c>
      <c r="F33" s="7">
        <v>272.68999999999994</v>
      </c>
    </row>
    <row r="34" spans="1:6" x14ac:dyDescent="0.2">
      <c r="B34" t="s">
        <v>6207</v>
      </c>
      <c r="C34" s="7">
        <v>430.39</v>
      </c>
      <c r="D34" s="7">
        <v>136.20500000000001</v>
      </c>
      <c r="E34" s="7">
        <v>209.6</v>
      </c>
      <c r="F34" s="7">
        <v>88.334999999999994</v>
      </c>
    </row>
    <row r="35" spans="1:6" x14ac:dyDescent="0.2">
      <c r="B35" t="s">
        <v>6208</v>
      </c>
      <c r="C35" s="7">
        <v>109.005</v>
      </c>
      <c r="D35" s="7">
        <v>393.57499999999999</v>
      </c>
      <c r="E35" s="7">
        <v>61.034999999999997</v>
      </c>
      <c r="F35" s="7">
        <v>199.48999999999998</v>
      </c>
    </row>
    <row r="36" spans="1:6" x14ac:dyDescent="0.2">
      <c r="B36" t="s">
        <v>6209</v>
      </c>
      <c r="C36" s="7">
        <v>287.52499999999998</v>
      </c>
      <c r="D36" s="7">
        <v>288.67</v>
      </c>
      <c r="E36" s="7">
        <v>125.58</v>
      </c>
      <c r="F36" s="7">
        <v>374.13499999999999</v>
      </c>
    </row>
    <row r="37" spans="1:6" x14ac:dyDescent="0.2">
      <c r="B37" t="s">
        <v>6210</v>
      </c>
      <c r="C37" s="7">
        <v>840.92999999999984</v>
      </c>
      <c r="D37" s="7">
        <v>409.875</v>
      </c>
      <c r="E37" s="7">
        <v>171.32999999999998</v>
      </c>
      <c r="F37" s="7">
        <v>221.43999999999997</v>
      </c>
    </row>
    <row r="38" spans="1:6" x14ac:dyDescent="0.2">
      <c r="B38" t="s">
        <v>6211</v>
      </c>
      <c r="C38" s="7">
        <v>299.07</v>
      </c>
      <c r="D38" s="7">
        <v>260.32499999999999</v>
      </c>
      <c r="E38" s="7">
        <v>584.64</v>
      </c>
      <c r="F38" s="7">
        <v>256.36500000000001</v>
      </c>
    </row>
    <row r="39" spans="1:6" x14ac:dyDescent="0.2">
      <c r="B39" t="s">
        <v>6212</v>
      </c>
      <c r="C39" s="7">
        <v>323.32499999999999</v>
      </c>
      <c r="D39" s="7">
        <v>565.57000000000005</v>
      </c>
      <c r="E39" s="7">
        <v>537.80999999999995</v>
      </c>
      <c r="F39" s="7">
        <v>189.47499999999999</v>
      </c>
    </row>
    <row r="40" spans="1:6" x14ac:dyDescent="0.2">
      <c r="B40" t="s">
        <v>6213</v>
      </c>
      <c r="C40" s="7">
        <v>399.48499999999996</v>
      </c>
      <c r="D40" s="7">
        <v>148.19999999999999</v>
      </c>
      <c r="E40" s="7">
        <v>388.21999999999997</v>
      </c>
      <c r="F40" s="7">
        <v>212.07499999999999</v>
      </c>
    </row>
    <row r="41" spans="1:6" x14ac:dyDescent="0.2">
      <c r="A41" t="s">
        <v>6201</v>
      </c>
      <c r="B41" t="s">
        <v>6202</v>
      </c>
      <c r="C41" s="7">
        <v>112.69499999999999</v>
      </c>
      <c r="D41" s="7">
        <v>166.32</v>
      </c>
      <c r="E41" s="7">
        <v>843.71499999999992</v>
      </c>
      <c r="F41" s="7">
        <v>146.685</v>
      </c>
    </row>
    <row r="42" spans="1:6" x14ac:dyDescent="0.2">
      <c r="B42" t="s">
        <v>6203</v>
      </c>
      <c r="C42" s="7">
        <v>114.87999999999998</v>
      </c>
      <c r="D42" s="7">
        <v>133.815</v>
      </c>
      <c r="E42" s="7">
        <v>91.175000000000011</v>
      </c>
      <c r="F42" s="7">
        <v>53.759999999999991</v>
      </c>
    </row>
    <row r="43" spans="1:6" x14ac:dyDescent="0.2">
      <c r="B43" t="s">
        <v>6204</v>
      </c>
      <c r="C43" s="7">
        <v>277.76</v>
      </c>
      <c r="D43" s="7">
        <v>175.41</v>
      </c>
      <c r="E43" s="7">
        <v>462.50999999999993</v>
      </c>
      <c r="F43" s="7">
        <v>399.52499999999998</v>
      </c>
    </row>
    <row r="44" spans="1:6" x14ac:dyDescent="0.2">
      <c r="B44" t="s">
        <v>6205</v>
      </c>
      <c r="C44" s="7">
        <v>197.89499999999998</v>
      </c>
      <c r="D44" s="7">
        <v>289.755</v>
      </c>
      <c r="E44" s="7">
        <v>88.545000000000002</v>
      </c>
      <c r="F44" s="7">
        <v>200.25499999999997</v>
      </c>
    </row>
    <row r="45" spans="1:6" x14ac:dyDescent="0.2">
      <c r="B45" t="s">
        <v>6206</v>
      </c>
      <c r="C45" s="7">
        <v>193.11499999999998</v>
      </c>
      <c r="D45" s="7">
        <v>212.49499999999998</v>
      </c>
      <c r="E45" s="7">
        <v>292.29000000000002</v>
      </c>
      <c r="F45" s="7">
        <v>304.46999999999997</v>
      </c>
    </row>
    <row r="46" spans="1:6" x14ac:dyDescent="0.2">
      <c r="B46" t="s">
        <v>6207</v>
      </c>
      <c r="C46" s="7">
        <v>179.79</v>
      </c>
      <c r="D46" s="7">
        <v>426.2</v>
      </c>
      <c r="E46" s="7">
        <v>170.08999999999997</v>
      </c>
      <c r="F46" s="7">
        <v>379.31</v>
      </c>
    </row>
    <row r="47" spans="1:6" x14ac:dyDescent="0.2">
      <c r="B47" t="s">
        <v>6208</v>
      </c>
      <c r="C47" s="7">
        <v>247.28999999999996</v>
      </c>
      <c r="D47" s="7">
        <v>246.685</v>
      </c>
      <c r="E47" s="7">
        <v>271.05499999999995</v>
      </c>
      <c r="F47" s="7">
        <v>141.69999999999999</v>
      </c>
    </row>
    <row r="48" spans="1:6" x14ac:dyDescent="0.2">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78A30-265F-1D4E-9A2D-DE4786474B41}">
  <dimension ref="A3:B6"/>
  <sheetViews>
    <sheetView topLeftCell="A2" workbookViewId="0">
      <selection activeCell="O19" sqref="O19"/>
    </sheetView>
  </sheetViews>
  <sheetFormatPr baseColWidth="10" defaultRowHeight="15" x14ac:dyDescent="0.2"/>
  <cols>
    <col min="1" max="1" width="13.5" bestFit="1" customWidth="1"/>
    <col min="2" max="2" width="10.5" bestFit="1" customWidth="1"/>
    <col min="3" max="3" width="7.1640625" bestFit="1" customWidth="1"/>
    <col min="4" max="6" width="7.33203125" bestFit="1" customWidth="1"/>
  </cols>
  <sheetData>
    <row r="3" spans="1:2" x14ac:dyDescent="0.2">
      <c r="A3" s="6" t="s">
        <v>7</v>
      </c>
      <c r="B3" t="s">
        <v>6220</v>
      </c>
    </row>
    <row r="4" spans="1:2" x14ac:dyDescent="0.2">
      <c r="A4" t="s">
        <v>28</v>
      </c>
      <c r="B4" s="8">
        <v>2798.5050000000001</v>
      </c>
    </row>
    <row r="5" spans="1:2" x14ac:dyDescent="0.2">
      <c r="A5" t="s">
        <v>318</v>
      </c>
      <c r="B5" s="8">
        <v>6696.8649999999989</v>
      </c>
    </row>
    <row r="6" spans="1:2" x14ac:dyDescent="0.2">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8D1B5-0E10-514F-84C4-D512DB8232DB}">
  <dimension ref="A3:B8"/>
  <sheetViews>
    <sheetView topLeftCell="A2" workbookViewId="0">
      <selection activeCell="K11" sqref="K11"/>
    </sheetView>
  </sheetViews>
  <sheetFormatPr baseColWidth="10" defaultRowHeight="15" x14ac:dyDescent="0.2"/>
  <cols>
    <col min="1" max="1" width="16" bestFit="1" customWidth="1"/>
    <col min="2" max="2" width="10.5" bestFit="1" customWidth="1"/>
    <col min="3" max="3" width="7.1640625" bestFit="1" customWidth="1"/>
    <col min="4" max="6" width="7.33203125" bestFit="1" customWidth="1"/>
  </cols>
  <sheetData>
    <row r="3" spans="1:2" x14ac:dyDescent="0.2">
      <c r="A3" s="6" t="s">
        <v>4</v>
      </c>
      <c r="B3" t="s">
        <v>6220</v>
      </c>
    </row>
    <row r="4" spans="1:2" x14ac:dyDescent="0.2">
      <c r="A4" t="s">
        <v>3753</v>
      </c>
      <c r="B4" s="8">
        <v>278.01</v>
      </c>
    </row>
    <row r="5" spans="1:2" x14ac:dyDescent="0.2">
      <c r="A5" t="s">
        <v>1598</v>
      </c>
      <c r="B5" s="8">
        <v>281.67499999999995</v>
      </c>
    </row>
    <row r="6" spans="1:2" x14ac:dyDescent="0.2">
      <c r="A6" t="s">
        <v>2587</v>
      </c>
      <c r="B6" s="8">
        <v>289.11</v>
      </c>
    </row>
    <row r="7" spans="1:2" x14ac:dyDescent="0.2">
      <c r="A7" t="s">
        <v>5765</v>
      </c>
      <c r="B7" s="8">
        <v>307.04499999999996</v>
      </c>
    </row>
    <row r="8" spans="1:2" x14ac:dyDescent="0.2">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2" zoomScale="112" zoomScaleNormal="112" workbookViewId="0">
      <selection activeCell="P8" sqref="P8"/>
    </sheetView>
  </sheetViews>
  <sheetFormatPr baseColWidth="10" defaultColWidth="8.83203125" defaultRowHeight="15" x14ac:dyDescent="0.2"/>
  <cols>
    <col min="1" max="1" width="16.5" bestFit="1" customWidth="1"/>
    <col min="2" max="2" width="11.83203125" bestFit="1" customWidth="1"/>
    <col min="3" max="3" width="17.5" bestFit="1" customWidth="1"/>
    <col min="4" max="4" width="10.6640625" customWidth="1"/>
    <col min="5" max="5" width="9.5" customWidth="1"/>
    <col min="6" max="6" width="15.5" bestFit="1" customWidth="1"/>
    <col min="7" max="7" width="33.83203125" bestFit="1" customWidth="1"/>
    <col min="8" max="8" width="13.5" bestFit="1" customWidth="1"/>
    <col min="9" max="9" width="11.83203125" customWidth="1"/>
    <col min="10" max="10" width="11.33203125" customWidth="1"/>
    <col min="11" max="11" width="6.1640625" customWidth="1"/>
    <col min="12" max="12" width="10.33203125" customWidth="1"/>
    <col min="13" max="13" width="11" customWidth="1"/>
    <col min="14" max="14" width="16" customWidth="1"/>
    <col min="15" max="15" width="16.16406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IF(I4="Rob","Robusta",IF(I4="Exc","Excelsa",IF(I4="Ara","Arabica",IF(I4="Lib","Liberica",""))))</f>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57" zoomScale="102" workbookViewId="0">
      <selection activeCell="C919" sqref="C919"/>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51"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TopFiveCustomers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Dissanayake Mudiyanselage, Upeksha Chathurangi Dissana</cp:lastModifiedBy>
  <cp:revision/>
  <dcterms:created xsi:type="dcterms:W3CDTF">2022-11-26T09:51:45Z</dcterms:created>
  <dcterms:modified xsi:type="dcterms:W3CDTF">2025-10-28T19:33:43Z</dcterms:modified>
  <cp:category/>
  <cp:contentStatus/>
</cp:coreProperties>
</file>